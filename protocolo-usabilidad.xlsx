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por tarea" sheetId="1" state="visible" r:id="rId3"/>
    <sheet name="Resumen por tarea" sheetId="2" state="visible" r:id="rId4"/>
    <sheet name="Instruccion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<sst xmlns="http://schemas.openxmlformats.org/spreadsheetml/2006/main" count="148" uniqueCount="74">
  <si>
    <t xml:space="preserve">Participante</t>
  </si>
  <si>
    <t xml:space="preserve">Tarea</t>
  </si>
  <si>
    <t xml:space="preserve">Comando dictado</t>
  </si>
  <si>
    <t xml:space="preserve">Éxito (S/N)</t>
  </si>
  <si>
    <t xml:space="preserve">Tiempo (s)</t>
  </si>
  <si>
    <t xml:space="preserve">Errores interacción</t>
  </si>
  <si>
    <t xml:space="preserve">Intentos</t>
  </si>
  <si>
    <t xml:space="preserve">Intención detectada</t>
  </si>
  <si>
    <t xml:space="preserve">Confianza (%)</t>
  </si>
  <si>
    <t xml:space="preserve">Observaciones</t>
  </si>
  <si>
    <t xml:space="preserve">P1</t>
  </si>
  <si>
    <t xml:space="preserve">T1</t>
  </si>
  <si>
    <t xml:space="preserve">Transferir quinientos pesos a Juan Pérez</t>
  </si>
  <si>
    <t xml:space="preserve">T2</t>
  </si>
  <si>
    <t xml:space="preserve">Mandale dos lucas a Pedro</t>
  </si>
  <si>
    <t xml:space="preserve">T3</t>
  </si>
  <si>
    <t xml:space="preserve">Enviar cien dólares a María López</t>
  </si>
  <si>
    <t xml:space="preserve">T4</t>
  </si>
  <si>
    <t xml:space="preserve">Fijate cuánto tengo en la cuenta</t>
  </si>
  <si>
    <t xml:space="preserve">T5</t>
  </si>
  <si>
    <t xml:space="preserve">Cancelar la operación</t>
  </si>
  <si>
    <t xml:space="preserve">T6</t>
  </si>
  <si>
    <t xml:space="preserve">Anular la transferencia de ayer</t>
  </si>
  <si>
    <t xml:space="preserve">P2</t>
  </si>
  <si>
    <t xml:space="preserve">P3</t>
  </si>
  <si>
    <t xml:space="preserve">P4</t>
  </si>
  <si>
    <t xml:space="preserve">P5</t>
  </si>
  <si>
    <t xml:space="preserve">Tasa de éxito (%)</t>
  </si>
  <si>
    <t xml:space="preserve">Tiempo medio (s)</t>
  </si>
  <si>
    <t xml:space="preserve">Errores (promedio)</t>
  </si>
  <si>
    <t xml:space="preserve">Intentos (promedio)</t>
  </si>
  <si>
    <t xml:space="preserve">T1 - Transf. estándar</t>
  </si>
  <si>
    <t xml:space="preserve">T2 - Transf. coloquial</t>
  </si>
  <si>
    <t xml:space="preserve">T3 - Transf. dólares</t>
  </si>
  <si>
    <t xml:space="preserve">T4 - Consulta de saldo</t>
  </si>
  <si>
    <t xml:space="preserve">T5 - Cancelación</t>
  </si>
  <si>
    <t xml:space="preserve">T6 - Comando ambiguo</t>
  </si>
  <si>
    <t xml:space="preserve">Promedio</t>
  </si>
  <si>
    <t xml:space="preserve">PROTOCOLO DE PRUEBAS DE USABILIDAD — SDK Aurum</t>
  </si>
  <si>
    <t xml:space="preserve">PREPARACIÓN</t>
  </si>
  <si>
    <t xml:space="preserve">1. Ejecutar la app en un dispositivo iPhone físico (no simulador).</t>
  </si>
  <si>
    <t xml:space="preserve">2. Verificar que el reconocimiento de voz funcione (locale es-MX on-device).</t>
  </si>
  <si>
    <t xml:space="preserve">3. Elegir un ambiente silencioso con poco ruido de fondo.</t>
  </si>
  <si>
    <t xml:space="preserve">4. Tener un cronómetro listo (puede ser el del iPhone).</t>
  </si>
  <si>
    <t xml:space="preserve">PARA CADA PARTICIPANTE</t>
  </si>
  <si>
    <t xml:space="preserve">5. Explicarle brevemente: 'Vas a probar una app que permite hacer operaciones bancarias con la voz.'</t>
  </si>
  <si>
    <t xml:space="preserve">6. NO explicarle los comandos exactos — darle la situación:</t>
  </si>
  <si>
    <t xml:space="preserve">   - T1: 'Hacé una transferencia de 500 pesos a Juan Pérez'</t>
  </si>
  <si>
    <t xml:space="preserve">   - T2: 'Mandale dos lucas a Pedro' (si no conoce 'lucas', decile el monto en jerga)</t>
  </si>
  <si>
    <t xml:space="preserve">   - T3: 'Enviá 100 dólares a María López'</t>
  </si>
  <si>
    <t xml:space="preserve">   - T4: 'Consultá cuánto tenés en la cuenta'</t>
  </si>
  <si>
    <t xml:space="preserve">   - T5: 'Cancelá la operación'</t>
  </si>
  <si>
    <t xml:space="preserve">   - T6: 'Anulá la transferencia de ayer' (deliberadamente ambiguo)</t>
  </si>
  <si>
    <t xml:space="preserve">QUÉ REGISTRAR EN CADA TAREA</t>
  </si>
  <si>
    <t xml:space="preserve">7. Éxito (S/N): ¿Se completó correctamente? Para T1-T3: intención + entidades correctas + confirmación.</t>
  </si>
  <si>
    <t xml:space="preserve">   Para T4: intención correcta. Para T5: cancelación exitosa. Para T6: rechazo correcto = éxito.</t>
  </si>
  <si>
    <t xml:space="preserve">8. Tiempo (s): desde que presiona el botón hasta que confirma/cancela/ve error.</t>
  </si>
  <si>
    <t xml:space="preserve">9. Errores de interacción: veces que tuvo que reiniciar (habló antes de tiempo, no entendió la UI, etc.).</t>
  </si>
  <si>
    <t xml:space="preserve">10. Intentos: cantidad total de veces que dijo el comando (incluye reintentos).</t>
  </si>
  <si>
    <t xml:space="preserve">11. Intención detectada: qué mostró la app (TRANSFERENCIA, CONSULTA_SALDO, CANCELAR, desconocida).</t>
  </si>
  <si>
    <t xml:space="preserve">12. Confianza (%): el porcentaje que muestra la ConfirmationView.</t>
  </si>
  <si>
    <t xml:space="preserve">13. Observaciones: cualquier comentario relevante del participante o comportamiento inesperado.</t>
  </si>
  <si>
    <t xml:space="preserve">CAPTURAS DE PANTALLA</t>
  </si>
  <si>
    <t xml:space="preserve">14. Para cada tarea, tomá una captura de pantalla del estado final:</t>
  </si>
  <si>
    <t xml:space="preserve">   - Si fue exitosa: captura de la ConfirmationView con el payload.</t>
  </si>
  <si>
    <t xml:space="preserve">   - Si falló: captura del mensaje de error o del estado de la interfaz.</t>
  </si>
  <si>
    <t xml:space="preserve">15. Nomenclatura sugerida: T1_P1_confirmacion.png, T2_P1_error.png, etc.</t>
  </si>
  <si>
    <t xml:space="preserve">16. Para el capítulo 4, seleccioná las más representativas:</t>
  </si>
  <si>
    <t xml:space="preserve">   - Una captura de MainView en estado idle (botón azul, 'Toque el botón...')</t>
  </si>
  <si>
    <t xml:space="preserve">   - Una captura de MainView en estado listening (botón rojo, transcripción parcial visible)</t>
  </si>
  <si>
    <t xml:space="preserve">   - Una captura de ConfirmationView con un payload exitoso (T1 o T3)</t>
  </si>
  <si>
    <t xml:space="preserve">DESPUÉS DE LAS PRUEBAS</t>
  </si>
  <si>
    <t xml:space="preserve">17. Los promedios se calculan automáticamente en la hoja 'Resumen por tarea'.</t>
  </si>
  <si>
    <t xml:space="preserve">18. Copiá los valores del resumen a la tabla del Capítulo 4 (tab:usabilidad).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</si>
</sst>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FCC"/>
        <bgColor rgb="FFFFFFFF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3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3" t="s">
        <v>12</v>
      </c>
      <c r="D2" s="4"/>
      <c r="E2" s="4"/>
      <c r="F2" s="4"/>
      <c r="G2" s="4"/>
      <c r="H2" s="4"/>
      <c r="I2" s="4"/>
      <c r="J2" s="4"/>
    </row>
    <row r="3" customFormat="false" ht="15" hidden="false" customHeight="false" outlineLevel="0" collapsed="false">
      <c r="A3" s="2" t="s">
        <v>10</v>
      </c>
      <c r="B3" s="2" t="s">
        <v>13</v>
      </c>
      <c r="C3" s="3" t="s">
        <v>14</v>
      </c>
      <c r="D3" s="4"/>
      <c r="E3" s="4"/>
      <c r="F3" s="4"/>
      <c r="G3" s="4"/>
      <c r="H3" s="4"/>
      <c r="I3" s="4"/>
      <c r="J3" s="4"/>
    </row>
    <row r="4" customFormat="false" ht="15" hidden="false" customHeight="false" outlineLevel="0" collapsed="false">
      <c r="A4" s="2" t="s">
        <v>10</v>
      </c>
      <c r="B4" s="2" t="s">
        <v>15</v>
      </c>
      <c r="C4" s="3" t="s">
        <v>16</v>
      </c>
      <c r="D4" s="4"/>
      <c r="E4" s="4"/>
      <c r="F4" s="4"/>
      <c r="G4" s="4"/>
      <c r="H4" s="4"/>
      <c r="I4" s="4"/>
      <c r="J4" s="4"/>
    </row>
    <row r="5" customFormat="false" ht="15" hidden="false" customHeight="false" outlineLevel="0" collapsed="false">
      <c r="A5" s="2" t="s">
        <v>10</v>
      </c>
      <c r="B5" s="2" t="s">
        <v>17</v>
      </c>
      <c r="C5" s="3" t="s">
        <v>18</v>
      </c>
      <c r="D5" s="4"/>
      <c r="E5" s="4"/>
      <c r="F5" s="4"/>
      <c r="G5" s="4"/>
      <c r="H5" s="4"/>
      <c r="I5" s="4"/>
      <c r="J5" s="4"/>
    </row>
    <row r="6" customFormat="false" ht="15" hidden="false" customHeight="false" outlineLevel="0" collapsed="false">
      <c r="A6" s="2" t="s">
        <v>10</v>
      </c>
      <c r="B6" s="2" t="s">
        <v>19</v>
      </c>
      <c r="C6" s="3" t="s">
        <v>20</v>
      </c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2" t="s">
        <v>10</v>
      </c>
      <c r="B7" s="2" t="s">
        <v>21</v>
      </c>
      <c r="C7" s="3" t="s">
        <v>22</v>
      </c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2" t="s">
        <v>23</v>
      </c>
      <c r="B8" s="2" t="s">
        <v>11</v>
      </c>
      <c r="C8" s="3" t="s">
        <v>12</v>
      </c>
      <c r="D8" s="4"/>
      <c r="E8" s="4"/>
      <c r="F8" s="4"/>
      <c r="G8" s="4"/>
      <c r="H8" s="4"/>
      <c r="I8" s="4"/>
      <c r="J8" s="4"/>
    </row>
    <row r="9" customFormat="false" ht="15" hidden="false" customHeight="false" outlineLevel="0" collapsed="false">
      <c r="A9" s="2" t="s">
        <v>23</v>
      </c>
      <c r="B9" s="2" t="s">
        <v>13</v>
      </c>
      <c r="C9" s="3" t="s">
        <v>14</v>
      </c>
      <c r="D9" s="4"/>
      <c r="E9" s="4"/>
      <c r="F9" s="4"/>
      <c r="G9" s="4"/>
      <c r="H9" s="4"/>
      <c r="I9" s="4"/>
      <c r="J9" s="4"/>
    </row>
    <row r="10" customFormat="false" ht="15" hidden="false" customHeight="false" outlineLevel="0" collapsed="false">
      <c r="A10" s="2" t="s">
        <v>23</v>
      </c>
      <c r="B10" s="2" t="s">
        <v>15</v>
      </c>
      <c r="C10" s="3" t="s">
        <v>16</v>
      </c>
      <c r="D10" s="4"/>
      <c r="E10" s="4"/>
      <c r="F10" s="4"/>
      <c r="G10" s="4"/>
      <c r="H10" s="4"/>
      <c r="I10" s="4"/>
      <c r="J10" s="4"/>
    </row>
    <row r="11" customFormat="false" ht="15" hidden="false" customHeight="false" outlineLevel="0" collapsed="false">
      <c r="A11" s="2" t="s">
        <v>23</v>
      </c>
      <c r="B11" s="2" t="s">
        <v>17</v>
      </c>
      <c r="C11" s="3" t="s">
        <v>18</v>
      </c>
      <c r="D11" s="4"/>
      <c r="E11" s="4"/>
      <c r="F11" s="4"/>
      <c r="G11" s="4"/>
      <c r="H11" s="4"/>
      <c r="I11" s="4"/>
      <c r="J11" s="4"/>
    </row>
    <row r="12" customFormat="false" ht="15" hidden="false" customHeight="false" outlineLevel="0" collapsed="false">
      <c r="A12" s="2" t="s">
        <v>23</v>
      </c>
      <c r="B12" s="2" t="s">
        <v>19</v>
      </c>
      <c r="C12" s="3" t="s">
        <v>20</v>
      </c>
      <c r="D12" s="4"/>
      <c r="E12" s="4"/>
      <c r="F12" s="4"/>
      <c r="G12" s="4"/>
      <c r="H12" s="4"/>
      <c r="I12" s="4"/>
      <c r="J12" s="4"/>
    </row>
    <row r="13" customFormat="false" ht="15" hidden="false" customHeight="false" outlineLevel="0" collapsed="false">
      <c r="A13" s="2" t="s">
        <v>23</v>
      </c>
      <c r="B13" s="2" t="s">
        <v>21</v>
      </c>
      <c r="C13" s="3" t="s">
        <v>22</v>
      </c>
      <c r="D13" s="4"/>
      <c r="E13" s="4"/>
      <c r="F13" s="4"/>
      <c r="G13" s="4"/>
      <c r="H13" s="4"/>
      <c r="I13" s="4"/>
      <c r="J13" s="4"/>
    </row>
    <row r="14" customFormat="false" ht="15" hidden="false" customHeight="false" outlineLevel="0" collapsed="false">
      <c r="A14" s="2" t="s">
        <v>24</v>
      </c>
      <c r="B14" s="2" t="s">
        <v>11</v>
      </c>
      <c r="C14" s="3" t="s">
        <v>12</v>
      </c>
      <c r="D14" s="4"/>
      <c r="E14" s="4"/>
      <c r="F14" s="4"/>
      <c r="G14" s="4"/>
      <c r="H14" s="4"/>
      <c r="I14" s="4"/>
      <c r="J14" s="4"/>
    </row>
    <row r="15" customFormat="false" ht="15" hidden="false" customHeight="false" outlineLevel="0" collapsed="false">
      <c r="A15" s="2" t="s">
        <v>24</v>
      </c>
      <c r="B15" s="2" t="s">
        <v>13</v>
      </c>
      <c r="C15" s="3" t="s">
        <v>14</v>
      </c>
      <c r="D15" s="4"/>
      <c r="E15" s="4"/>
      <c r="F15" s="4"/>
      <c r="G15" s="4"/>
      <c r="H15" s="4"/>
      <c r="I15" s="4"/>
      <c r="J15" s="4"/>
    </row>
    <row r="16" customFormat="false" ht="15" hidden="false" customHeight="false" outlineLevel="0" collapsed="false">
      <c r="A16" s="2" t="s">
        <v>24</v>
      </c>
      <c r="B16" s="2" t="s">
        <v>15</v>
      </c>
      <c r="C16" s="3" t="s">
        <v>16</v>
      </c>
      <c r="D16" s="4"/>
      <c r="E16" s="4"/>
      <c r="F16" s="4"/>
      <c r="G16" s="4"/>
      <c r="H16" s="4"/>
      <c r="I16" s="4"/>
      <c r="J16" s="4"/>
    </row>
    <row r="17" customFormat="false" ht="15" hidden="false" customHeight="false" outlineLevel="0" collapsed="false">
      <c r="A17" s="2" t="s">
        <v>24</v>
      </c>
      <c r="B17" s="2" t="s">
        <v>17</v>
      </c>
      <c r="C17" s="3" t="s">
        <v>18</v>
      </c>
      <c r="D17" s="4"/>
      <c r="E17" s="4"/>
      <c r="F17" s="4"/>
      <c r="G17" s="4"/>
      <c r="H17" s="4"/>
      <c r="I17" s="4"/>
      <c r="J17" s="4"/>
    </row>
    <row r="18" customFormat="false" ht="15" hidden="false" customHeight="false" outlineLevel="0" collapsed="false">
      <c r="A18" s="2" t="s">
        <v>24</v>
      </c>
      <c r="B18" s="2" t="s">
        <v>19</v>
      </c>
      <c r="C18" s="3" t="s">
        <v>20</v>
      </c>
      <c r="D18" s="4"/>
      <c r="E18" s="4"/>
      <c r="F18" s="4"/>
      <c r="G18" s="4"/>
      <c r="H18" s="4"/>
      <c r="I18" s="4"/>
      <c r="J18" s="4"/>
    </row>
    <row r="19" customFormat="false" ht="15" hidden="false" customHeight="false" outlineLevel="0" collapsed="false">
      <c r="A19" s="2" t="s">
        <v>24</v>
      </c>
      <c r="B19" s="2" t="s">
        <v>21</v>
      </c>
      <c r="C19" s="3" t="s">
        <v>22</v>
      </c>
      <c r="D19" s="4"/>
      <c r="E19" s="4"/>
      <c r="F19" s="4"/>
      <c r="G19" s="4"/>
      <c r="H19" s="4"/>
      <c r="I19" s="4"/>
      <c r="J19" s="4"/>
    </row>
    <row r="20" customFormat="false" ht="15" hidden="false" customHeight="false" outlineLevel="0" collapsed="false">
      <c r="A20" s="2" t="s">
        <v>25</v>
      </c>
      <c r="B20" s="2" t="s">
        <v>11</v>
      </c>
      <c r="C20" s="3" t="s">
        <v>12</v>
      </c>
      <c r="D20" s="4"/>
      <c r="E20" s="4"/>
      <c r="F20" s="4"/>
      <c r="G20" s="4"/>
      <c r="H20" s="4"/>
      <c r="I20" s="4"/>
      <c r="J20" s="4"/>
    </row>
    <row r="21" customFormat="false" ht="15" hidden="false" customHeight="false" outlineLevel="0" collapsed="false">
      <c r="A21" s="2" t="s">
        <v>25</v>
      </c>
      <c r="B21" s="2" t="s">
        <v>13</v>
      </c>
      <c r="C21" s="3" t="s">
        <v>14</v>
      </c>
      <c r="D21" s="4"/>
      <c r="E21" s="4"/>
      <c r="F21" s="4"/>
      <c r="G21" s="4"/>
      <c r="H21" s="4"/>
      <c r="I21" s="4"/>
      <c r="J21" s="4"/>
    </row>
    <row r="22" customFormat="false" ht="15" hidden="false" customHeight="false" outlineLevel="0" collapsed="false">
      <c r="A22" s="2" t="s">
        <v>25</v>
      </c>
      <c r="B22" s="2" t="s">
        <v>15</v>
      </c>
      <c r="C22" s="3" t="s">
        <v>16</v>
      </c>
      <c r="D22" s="4"/>
      <c r="E22" s="4"/>
      <c r="F22" s="4"/>
      <c r="G22" s="4"/>
      <c r="H22" s="4"/>
      <c r="I22" s="4"/>
      <c r="J22" s="4"/>
    </row>
    <row r="23" customFormat="false" ht="15" hidden="false" customHeight="false" outlineLevel="0" collapsed="false">
      <c r="A23" s="2" t="s">
        <v>25</v>
      </c>
      <c r="B23" s="2" t="s">
        <v>17</v>
      </c>
      <c r="C23" s="3" t="s">
        <v>18</v>
      </c>
      <c r="D23" s="4"/>
      <c r="E23" s="4"/>
      <c r="F23" s="4"/>
      <c r="G23" s="4"/>
      <c r="H23" s="4"/>
      <c r="I23" s="4"/>
      <c r="J23" s="4"/>
    </row>
    <row r="24" customFormat="false" ht="15" hidden="false" customHeight="false" outlineLevel="0" collapsed="false">
      <c r="A24" s="2" t="s">
        <v>25</v>
      </c>
      <c r="B24" s="2" t="s">
        <v>19</v>
      </c>
      <c r="C24" s="3" t="s">
        <v>20</v>
      </c>
      <c r="D24" s="4"/>
      <c r="E24" s="4"/>
      <c r="F24" s="4"/>
      <c r="G24" s="4"/>
      <c r="H24" s="4"/>
      <c r="I24" s="4"/>
      <c r="J24" s="4"/>
    </row>
    <row r="25" customFormat="false" ht="15" hidden="false" customHeight="false" outlineLevel="0" collapsed="false">
      <c r="A25" s="2" t="s">
        <v>25</v>
      </c>
      <c r="B25" s="2" t="s">
        <v>21</v>
      </c>
      <c r="C25" s="3" t="s">
        <v>22</v>
      </c>
      <c r="D25" s="4"/>
      <c r="E25" s="4"/>
      <c r="F25" s="4"/>
      <c r="G25" s="4"/>
      <c r="H25" s="4"/>
      <c r="I25" s="4"/>
      <c r="J25" s="4"/>
    </row>
    <row r="26" customFormat="false" ht="15" hidden="false" customHeight="false" outlineLevel="0" collapsed="false">
      <c r="A26" s="2" t="s">
        <v>26</v>
      </c>
      <c r="B26" s="2" t="s">
        <v>11</v>
      </c>
      <c r="C26" s="3" t="s">
        <v>12</v>
      </c>
      <c r="D26" s="4"/>
      <c r="E26" s="4"/>
      <c r="F26" s="4"/>
      <c r="G26" s="4"/>
      <c r="H26" s="4"/>
      <c r="I26" s="4"/>
      <c r="J26" s="4"/>
    </row>
    <row r="27" customFormat="false" ht="15" hidden="false" customHeight="false" outlineLevel="0" collapsed="false">
      <c r="A27" s="2" t="s">
        <v>26</v>
      </c>
      <c r="B27" s="2" t="s">
        <v>13</v>
      </c>
      <c r="C27" s="3" t="s">
        <v>14</v>
      </c>
      <c r="D27" s="4"/>
      <c r="E27" s="4"/>
      <c r="F27" s="4"/>
      <c r="G27" s="4"/>
      <c r="H27" s="4"/>
      <c r="I27" s="4"/>
      <c r="J27" s="4"/>
    </row>
    <row r="28" customFormat="false" ht="15" hidden="false" customHeight="false" outlineLevel="0" collapsed="false">
      <c r="A28" s="2" t="s">
        <v>26</v>
      </c>
      <c r="B28" s="2" t="s">
        <v>15</v>
      </c>
      <c r="C28" s="3" t="s">
        <v>16</v>
      </c>
      <c r="D28" s="4"/>
      <c r="E28" s="4"/>
      <c r="F28" s="4"/>
      <c r="G28" s="4"/>
      <c r="H28" s="4"/>
      <c r="I28" s="4"/>
      <c r="J28" s="4"/>
    </row>
    <row r="29" customFormat="false" ht="15" hidden="false" customHeight="false" outlineLevel="0" collapsed="false">
      <c r="A29" s="2" t="s">
        <v>26</v>
      </c>
      <c r="B29" s="2" t="s">
        <v>17</v>
      </c>
      <c r="C29" s="3" t="s">
        <v>18</v>
      </c>
      <c r="D29" s="4"/>
      <c r="E29" s="4"/>
      <c r="F29" s="4"/>
      <c r="G29" s="4"/>
      <c r="H29" s="4"/>
      <c r="I29" s="4"/>
      <c r="J29" s="4"/>
    </row>
    <row r="30" customFormat="false" ht="15" hidden="false" customHeight="false" outlineLevel="0" collapsed="false">
      <c r="A30" s="2" t="s">
        <v>26</v>
      </c>
      <c r="B30" s="2" t="s">
        <v>19</v>
      </c>
      <c r="C30" s="3" t="s">
        <v>20</v>
      </c>
      <c r="D30" s="4"/>
      <c r="E30" s="4"/>
      <c r="F30" s="4"/>
      <c r="G30" s="4"/>
      <c r="H30" s="4"/>
      <c r="I30" s="4"/>
      <c r="J30" s="4"/>
    </row>
    <row r="31" customFormat="false" ht="15" hidden="false" customHeight="false" outlineLevel="0" collapsed="false">
      <c r="A31" s="2" t="s">
        <v>26</v>
      </c>
      <c r="B31" s="2" t="s">
        <v>21</v>
      </c>
      <c r="C31" s="3" t="s">
        <v>22</v>
      </c>
      <c r="D31" s="4"/>
      <c r="E31" s="4"/>
      <c r="F31" s="4"/>
      <c r="G31" s="4"/>
      <c r="H31" s="4"/>
      <c r="I31" s="4"/>
      <c r="J3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5" min="2" style="0" width="18"/>
  </cols>
  <sheetData>
    <row r="1" customFormat="false" ht="26.85" hidden="false" customHeight="false" outlineLevel="0" collapsed="false">
      <c r="A1" s="1" t="s">
        <v>1</v>
      </c>
      <c r="B1" s="1" t="s">
        <v>27</v>
      </c>
      <c r="C1" s="1" t="s">
        <v>28</v>
      </c>
      <c r="D1" s="1" t="s">
        <v>29</v>
      </c>
      <c r="E1" s="1" t="s">
        <v>30</v>
      </c>
    </row>
    <row r="2" customFormat="false" ht="15" hidden="false" customHeight="false" outlineLevel="0" collapsed="false">
      <c r="A2" s="3" t="s">
        <v>31</v>
      </c>
      <c r="B2" s="5" t="str">
        <f aca="false">IF(COUNTA('Registro por tarea'!D2,'Registro por tarea'!D8,'Registro por tarea'!D14,'Registro por tarea'!D20,'Registro por tarea'!D26)=0,"-",COUNTIF('Registro por tarea'!D2,'Registro por tarea'!D8,'Registro por tarea'!D14,'Registro por tarea'!D20,'Registro por tarea'!D26,"S")/COUNTA('Registro por tarea'!D2,'Registro por tarea'!D8,'Registro por tarea'!D14,'Registro por tarea'!D20,'Registro por tarea'!D26)*100)</f>
        <v>-</v>
      </c>
      <c r="C2" s="5" t="str">
        <f aca="false">IF(COUNTA('Registro por tarea'!E2,'Registro por tarea'!E8,'Registro por tarea'!E14,'Registro por tarea'!E20,'Registro por tarea'!E26)=0,"-",AVERAGE('Registro por tarea'!E2,'Registro por tarea'!E8,'Registro por tarea'!E14,'Registro por tarea'!E20,'Registro por tarea'!E26))</f>
        <v>-</v>
      </c>
      <c r="D2" s="5" t="str">
        <f aca="false">IF(COUNTA('Registro por tarea'!F2,'Registro por tarea'!F8,'Registro por tarea'!F14,'Registro por tarea'!F20,'Registro por tarea'!F26)=0,"-",AVERAGE('Registro por tarea'!F2,'Registro por tarea'!F8,'Registro por tarea'!F14,'Registro por tarea'!F20,'Registro por tarea'!F26))</f>
        <v>-</v>
      </c>
      <c r="E2" s="5" t="str">
        <f aca="false">IF(COUNTA('Registro por tarea'!G2,'Registro por tarea'!G8,'Registro por tarea'!G14,'Registro por tarea'!G20,'Registro por tarea'!G26)=0,"-",AVERAGE('Registro por tarea'!G2,'Registro por tarea'!G8,'Registro por tarea'!G14,'Registro por tarea'!G20,'Registro por tarea'!G26))</f>
        <v>-</v>
      </c>
    </row>
    <row r="3" customFormat="false" ht="15" hidden="false" customHeight="false" outlineLevel="0" collapsed="false">
      <c r="A3" s="3" t="s">
        <v>32</v>
      </c>
      <c r="B3" s="5" t="str">
        <f aca="false">IF(COUNTA('Registro por tarea'!D3,'Registro por tarea'!D9,'Registro por tarea'!D15,'Registro por tarea'!D21,'Registro por tarea'!D27)=0,"-",COUNTIF('Registro por tarea'!D3,'Registro por tarea'!D9,'Registro por tarea'!D15,'Registro por tarea'!D21,'Registro por tarea'!D27,"S")/COUNTA('Registro por tarea'!D3,'Registro por tarea'!D9,'Registro por tarea'!D15,'Registro por tarea'!D21,'Registro por tarea'!D27)*100)</f>
        <v>-</v>
      </c>
      <c r="C3" s="5" t="str">
        <f aca="false">IF(COUNTA('Registro por tarea'!E3,'Registro por tarea'!E9,'Registro por tarea'!E15,'Registro por tarea'!E21,'Registro por tarea'!E27)=0,"-",AVERAGE('Registro por tarea'!E3,'Registro por tarea'!E9,'Registro por tarea'!E15,'Registro por tarea'!E21,'Registro por tarea'!E27))</f>
        <v>-</v>
      </c>
      <c r="D3" s="5" t="str">
        <f aca="false">IF(COUNTA('Registro por tarea'!F3,'Registro por tarea'!F9,'Registro por tarea'!F15,'Registro por tarea'!F21,'Registro por tarea'!F27)=0,"-",AVERAGE('Registro por tarea'!F3,'Registro por tarea'!F9,'Registro por tarea'!F15,'Registro por tarea'!F21,'Registro por tarea'!F27))</f>
        <v>-</v>
      </c>
      <c r="E3" s="5" t="str">
        <f aca="false">IF(COUNTA('Registro por tarea'!G3,'Registro por tarea'!G9,'Registro por tarea'!G15,'Registro por tarea'!G21,'Registro por tarea'!G27)=0,"-",AVERAGE('Registro por tarea'!G3,'Registro por tarea'!G9,'Registro por tarea'!G15,'Registro por tarea'!G21,'Registro por tarea'!G27))</f>
        <v>-</v>
      </c>
    </row>
    <row r="4" customFormat="false" ht="15" hidden="false" customHeight="false" outlineLevel="0" collapsed="false">
      <c r="A4" s="3" t="s">
        <v>33</v>
      </c>
      <c r="B4" s="5" t="str">
        <f aca="false">IF(COUNTA('Registro por tarea'!D4,'Registro por tarea'!D10,'Registro por tarea'!D16,'Registro por tarea'!D22,'Registro por tarea'!D28)=0,"-",COUNTIF('Registro por tarea'!D4,'Registro por tarea'!D10,'Registro por tarea'!D16,'Registro por tarea'!D22,'Registro por tarea'!D28,"S")/COUNTA('Registro por tarea'!D4,'Registro por tarea'!D10,'Registro por tarea'!D16,'Registro por tarea'!D22,'Registro por tarea'!D28)*100)</f>
        <v>-</v>
      </c>
      <c r="C4" s="5" t="str">
        <f aca="false">IF(COUNTA('Registro por tarea'!E4,'Registro por tarea'!E10,'Registro por tarea'!E16,'Registro por tarea'!E22,'Registro por tarea'!E28)=0,"-",AVERAGE('Registro por tarea'!E4,'Registro por tarea'!E10,'Registro por tarea'!E16,'Registro por tarea'!E22,'Registro por tarea'!E28))</f>
        <v>-</v>
      </c>
      <c r="D4" s="5" t="str">
        <f aca="false">IF(COUNTA('Registro por tarea'!F4,'Registro por tarea'!F10,'Registro por tarea'!F16,'Registro por tarea'!F22,'Registro por tarea'!F28)=0,"-",AVERAGE('Registro por tarea'!F4,'Registro por tarea'!F10,'Registro por tarea'!F16,'Registro por tarea'!F22,'Registro por tarea'!F28))</f>
        <v>-</v>
      </c>
      <c r="E4" s="5" t="str">
        <f aca="false">IF(COUNTA('Registro por tarea'!G4,'Registro por tarea'!G10,'Registro por tarea'!G16,'Registro por tarea'!G22,'Registro por tarea'!G28)=0,"-",AVERAGE('Registro por tarea'!G4,'Registro por tarea'!G10,'Registro por tarea'!G16,'Registro por tarea'!G22,'Registro por tarea'!G28))</f>
        <v>-</v>
      </c>
    </row>
    <row r="5" customFormat="false" ht="15" hidden="false" customHeight="false" outlineLevel="0" collapsed="false">
      <c r="A5" s="3" t="s">
        <v>34</v>
      </c>
      <c r="B5" s="5" t="str">
        <f aca="false">IF(COUNTA('Registro por tarea'!D5,'Registro por tarea'!D11,'Registro por tarea'!D17,'Registro por tarea'!D23,'Registro por tarea'!D29)=0,"-",COUNTIF('Registro por tarea'!D5,'Registro por tarea'!D11,'Registro por tarea'!D17,'Registro por tarea'!D23,'Registro por tarea'!D29,"S")/COUNTA('Registro por tarea'!D5,'Registro por tarea'!D11,'Registro por tarea'!D17,'Registro por tarea'!D23,'Registro por tarea'!D29)*100)</f>
        <v>-</v>
      </c>
      <c r="C5" s="5" t="str">
        <f aca="false">IF(COUNTA('Registro por tarea'!E5,'Registro por tarea'!E11,'Registro por tarea'!E17,'Registro por tarea'!E23,'Registro por tarea'!E29)=0,"-",AVERAGE('Registro por tarea'!E5,'Registro por tarea'!E11,'Registro por tarea'!E17,'Registro por tarea'!E23,'Registro por tarea'!E29))</f>
        <v>-</v>
      </c>
      <c r="D5" s="5" t="str">
        <f aca="false">IF(COUNTA('Registro por tarea'!F5,'Registro por tarea'!F11,'Registro por tarea'!F17,'Registro por tarea'!F23,'Registro por tarea'!F29)=0,"-",AVERAGE('Registro por tarea'!F5,'Registro por tarea'!F11,'Registro por tarea'!F17,'Registro por tarea'!F23,'Registro por tarea'!F29))</f>
        <v>-</v>
      </c>
      <c r="E5" s="5" t="str">
        <f aca="false">IF(COUNTA('Registro por tarea'!G5,'Registro por tarea'!G11,'Registro por tarea'!G17,'Registro por tarea'!G23,'Registro por tarea'!G29)=0,"-",AVERAGE('Registro por tarea'!G5,'Registro por tarea'!G11,'Registro por tarea'!G17,'Registro por tarea'!G23,'Registro por tarea'!G29))</f>
        <v>-</v>
      </c>
    </row>
    <row r="6" customFormat="false" ht="15" hidden="false" customHeight="false" outlineLevel="0" collapsed="false">
      <c r="A6" s="3" t="s">
        <v>35</v>
      </c>
      <c r="B6" s="5" t="str">
        <f aca="false">IF(COUNTA('Registro por tarea'!D6,'Registro por tarea'!D12,'Registro por tarea'!D18,'Registro por tarea'!D24,'Registro por tarea'!D30)=0,"-",COUNTIF('Registro por tarea'!D6,'Registro por tarea'!D12,'Registro por tarea'!D18,'Registro por tarea'!D24,'Registro por tarea'!D30,"S")/COUNTA('Registro por tarea'!D6,'Registro por tarea'!D12,'Registro por tarea'!D18,'Registro por tarea'!D24,'Registro por tarea'!D30)*100)</f>
        <v>-</v>
      </c>
      <c r="C6" s="5" t="str">
        <f aca="false">IF(COUNTA('Registro por tarea'!E6,'Registro por tarea'!E12,'Registro por tarea'!E18,'Registro por tarea'!E24,'Registro por tarea'!E30)=0,"-",AVERAGE('Registro por tarea'!E6,'Registro por tarea'!E12,'Registro por tarea'!E18,'Registro por tarea'!E24,'Registro por tarea'!E30))</f>
        <v>-</v>
      </c>
      <c r="D6" s="5" t="str">
        <f aca="false">IF(COUNTA('Registro por tarea'!F6,'Registro por tarea'!F12,'Registro por tarea'!F18,'Registro por tarea'!F24,'Registro por tarea'!F30)=0,"-",AVERAGE('Registro por tarea'!F6,'Registro por tarea'!F12,'Registro por tarea'!F18,'Registro por tarea'!F24,'Registro por tarea'!F30))</f>
        <v>-</v>
      </c>
      <c r="E6" s="5" t="str">
        <f aca="false">IF(COUNTA('Registro por tarea'!G6,'Registro por tarea'!G12,'Registro por tarea'!G18,'Registro por tarea'!G24,'Registro por tarea'!G30)=0,"-",AVERAGE('Registro por tarea'!G6,'Registro por tarea'!G12,'Registro por tarea'!G18,'Registro por tarea'!G24,'Registro por tarea'!G30))</f>
        <v>-</v>
      </c>
    </row>
    <row r="7" customFormat="false" ht="15" hidden="false" customHeight="false" outlineLevel="0" collapsed="false">
      <c r="A7" s="3" t="s">
        <v>36</v>
      </c>
      <c r="B7" s="5" t="str">
        <f aca="false">IF(COUNTA('Registro por tarea'!D7,'Registro por tarea'!D13,'Registro por tarea'!D19,'Registro por tarea'!D25,'Registro por tarea'!D31)=0,"-",COUNTIF('Registro por tarea'!D7,'Registro por tarea'!D13,'Registro por tarea'!D19,'Registro por tarea'!D25,'Registro por tarea'!D31,"S")/COUNTA('Registro por tarea'!D7,'Registro por tarea'!D13,'Registro por tarea'!D19,'Registro por tarea'!D25,'Registro por tarea'!D31)*100)</f>
        <v>-</v>
      </c>
      <c r="C7" s="5" t="str">
        <f aca="false">IF(COUNTA('Registro por tarea'!E7,'Registro por tarea'!E13,'Registro por tarea'!E19,'Registro por tarea'!E25,'Registro por tarea'!E31)=0,"-",AVERAGE('Registro por tarea'!E7,'Registro por tarea'!E13,'Registro por tarea'!E19,'Registro por tarea'!E25,'Registro por tarea'!E31))</f>
        <v>-</v>
      </c>
      <c r="D7" s="5" t="str">
        <f aca="false">IF(COUNTA('Registro por tarea'!F7,'Registro por tarea'!F13,'Registro por tarea'!F19,'Registro por tarea'!F25,'Registro por tarea'!F31)=0,"-",AVERAGE('Registro por tarea'!F7,'Registro por tarea'!F13,'Registro por tarea'!F19,'Registro por tarea'!F25,'Registro por tarea'!F31))</f>
        <v>-</v>
      </c>
      <c r="E7" s="5" t="str">
        <f aca="false">IF(COUNTA('Registro por tarea'!G7,'Registro por tarea'!G13,'Registro por tarea'!G19,'Registro por tarea'!G25,'Registro por tarea'!G31)=0,"-",AVERAGE('Registro por tarea'!G7,'Registro por tarea'!G13,'Registro por tarea'!G19,'Registro por tarea'!G25,'Registro por tarea'!G31))</f>
        <v>-</v>
      </c>
    </row>
    <row r="8" customFormat="false" ht="15" hidden="false" customHeight="false" outlineLevel="0" collapsed="false">
      <c r="A8" s="6" t="s">
        <v>37</v>
      </c>
      <c r="B8" s="7" t="e">
        <f aca="false">AVERAGE(B2:B7)</f>
        <v>#DIV/0!</v>
      </c>
      <c r="C8" s="7" t="e">
        <f aca="false">AVERAGE(C2:C7)</f>
        <v>#DIV/0!</v>
      </c>
      <c r="D8" s="7" t="e">
        <f aca="false">AVERAGE(D2:D7)</f>
        <v>#DIV/0!</v>
      </c>
      <c r="E8" s="7" t="e">
        <f aca="false">AVERAGE(E2:E7)</f>
        <v>#DIV/0!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8" t="s">
        <v>38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8" t="s">
        <v>39</v>
      </c>
    </row>
    <row r="4" customFormat="false" ht="15" hidden="false" customHeight="false" outlineLevel="0" collapsed="false">
      <c r="A4" s="10" t="s">
        <v>40</v>
      </c>
    </row>
    <row r="5" customFormat="false" ht="15" hidden="false" customHeight="false" outlineLevel="0" collapsed="false">
      <c r="A5" s="10" t="s">
        <v>41</v>
      </c>
    </row>
    <row r="6" customFormat="false" ht="15" hidden="false" customHeight="false" outlineLevel="0" collapsed="false">
      <c r="A6" s="10" t="s">
        <v>42</v>
      </c>
    </row>
    <row r="7" customFormat="false" ht="15" hidden="false" customHeight="false" outlineLevel="0" collapsed="false">
      <c r="A7" s="10" t="s">
        <v>43</v>
      </c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8" t="s">
        <v>44</v>
      </c>
    </row>
    <row r="10" customFormat="false" ht="15" hidden="false" customHeight="false" outlineLevel="0" collapsed="false">
      <c r="A10" s="10" t="s">
        <v>45</v>
      </c>
    </row>
    <row r="11" customFormat="false" ht="15" hidden="false" customHeight="false" outlineLevel="0" collapsed="false">
      <c r="A11" s="10" t="s">
        <v>46</v>
      </c>
    </row>
    <row r="12" customFormat="false" ht="15" hidden="false" customHeight="false" outlineLevel="0" collapsed="false">
      <c r="A12" s="9" t="s">
        <v>47</v>
      </c>
    </row>
    <row r="13" customFormat="false" ht="15" hidden="false" customHeight="false" outlineLevel="0" collapsed="false">
      <c r="A13" s="9" t="s">
        <v>48</v>
      </c>
    </row>
    <row r="14" customFormat="false" ht="15" hidden="false" customHeight="false" outlineLevel="0" collapsed="false">
      <c r="A14" s="9" t="s">
        <v>49</v>
      </c>
    </row>
    <row r="15" customFormat="false" ht="15" hidden="false" customHeight="false" outlineLevel="0" collapsed="false">
      <c r="A15" s="9" t="s">
        <v>50</v>
      </c>
    </row>
    <row r="16" customFormat="false" ht="15" hidden="false" customHeight="false" outlineLevel="0" collapsed="false">
      <c r="A16" s="9" t="s">
        <v>51</v>
      </c>
    </row>
    <row r="17" customFormat="false" ht="15" hidden="false" customHeight="false" outlineLevel="0" collapsed="false">
      <c r="A17" s="9" t="s">
        <v>52</v>
      </c>
    </row>
    <row r="18" customFormat="false" ht="15" hidden="false" customHeight="false" outlineLevel="0" collapsed="false">
      <c r="A18" s="9"/>
    </row>
    <row r="19" customFormat="false" ht="15" hidden="false" customHeight="false" outlineLevel="0" collapsed="false">
      <c r="A19" s="8" t="s">
        <v>53</v>
      </c>
    </row>
    <row r="20" customFormat="false" ht="15" hidden="false" customHeight="false" outlineLevel="0" collapsed="false">
      <c r="A20" s="10" t="s">
        <v>54</v>
      </c>
    </row>
    <row r="21" customFormat="false" ht="15" hidden="false" customHeight="false" outlineLevel="0" collapsed="false">
      <c r="A21" s="9" t="s">
        <v>55</v>
      </c>
    </row>
    <row r="22" customFormat="false" ht="15" hidden="false" customHeight="false" outlineLevel="0" collapsed="false">
      <c r="A22" s="10" t="s">
        <v>56</v>
      </c>
    </row>
    <row r="23" customFormat="false" ht="15" hidden="false" customHeight="false" outlineLevel="0" collapsed="false">
      <c r="A23" s="10" t="s">
        <v>57</v>
      </c>
    </row>
    <row r="24" customFormat="false" ht="15" hidden="false" customHeight="false" outlineLevel="0" collapsed="false">
      <c r="A24" s="10" t="s">
        <v>58</v>
      </c>
    </row>
    <row r="25" customFormat="false" ht="15" hidden="false" customHeight="false" outlineLevel="0" collapsed="false">
      <c r="A25" s="10" t="s">
        <v>59</v>
      </c>
    </row>
    <row r="26" customFormat="false" ht="15" hidden="false" customHeight="false" outlineLevel="0" collapsed="false">
      <c r="A26" s="10" t="s">
        <v>60</v>
      </c>
    </row>
    <row r="27" customFormat="false" ht="15" hidden="false" customHeight="false" outlineLevel="0" collapsed="false">
      <c r="A27" s="10" t="s">
        <v>61</v>
      </c>
    </row>
    <row r="28" customFormat="false" ht="15" hidden="false" customHeight="false" outlineLevel="0" collapsed="false">
      <c r="A28" s="9"/>
    </row>
    <row r="29" customFormat="false" ht="15" hidden="false" customHeight="false" outlineLevel="0" collapsed="false">
      <c r="A29" s="8" t="s">
        <v>62</v>
      </c>
    </row>
    <row r="30" customFormat="false" ht="15" hidden="false" customHeight="false" outlineLevel="0" collapsed="false">
      <c r="A30" s="10" t="s">
        <v>63</v>
      </c>
    </row>
    <row r="31" customFormat="false" ht="15" hidden="false" customHeight="false" outlineLevel="0" collapsed="false">
      <c r="A31" s="9" t="s">
        <v>64</v>
      </c>
    </row>
    <row r="32" customFormat="false" ht="15" hidden="false" customHeight="false" outlineLevel="0" collapsed="false">
      <c r="A32" s="9" t="s">
        <v>65</v>
      </c>
    </row>
    <row r="33" customFormat="false" ht="15" hidden="false" customHeight="false" outlineLevel="0" collapsed="false">
      <c r="A33" s="10" t="s">
        <v>66</v>
      </c>
    </row>
    <row r="34" customFormat="false" ht="15" hidden="false" customHeight="false" outlineLevel="0" collapsed="false">
      <c r="A34" s="10" t="s">
        <v>67</v>
      </c>
    </row>
    <row r="35" customFormat="false" ht="15" hidden="false" customHeight="false" outlineLevel="0" collapsed="false">
      <c r="A35" s="9" t="s">
        <v>68</v>
      </c>
    </row>
    <row r="36" customFormat="false" ht="15" hidden="false" customHeight="false" outlineLevel="0" collapsed="false">
      <c r="A36" s="9" t="s">
        <v>69</v>
      </c>
    </row>
    <row r="37" customFormat="false" ht="15" hidden="false" customHeight="false" outlineLevel="0" collapsed="false">
      <c r="A37" s="9" t="s">
        <v>70</v>
      </c>
    </row>
    <row r="38" customFormat="false" ht="15" hidden="false" customHeight="false" outlineLevel="0" collapsed="false">
      <c r="A38" s="9"/>
    </row>
    <row r="39" customFormat="false" ht="15" hidden="false" customHeight="false" outlineLevel="0" collapsed="false">
      <c r="A39" s="8" t="s">
        <v>71</v>
      </c>
    </row>
    <row r="40" customFormat="false" ht="15" hidden="false" customHeight="false" outlineLevel="0" collapsed="false">
      <c r="A40" s="10" t="s">
        <v>72</v>
      </c>
    </row>
    <row r="41" customFormat="false" ht="15" hidden="false" customHeight="false" outlineLevel="0" collapsed="false">
      <c r="A41" s="10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2026-05-08T00:19:00Z</dcterms:created>
  <dc:creator>openpyxl</dc:creator>
  <dc:description/>
  <dc:language>en-US</dc:language>
  <cp:lastModifiedBy/>
  <dcterms:modified xsi:type="dcterms:W3CDTF">2026-05-08T00:19:00Z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